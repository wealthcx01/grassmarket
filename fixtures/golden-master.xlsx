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ubcomponents" sheetId="2" state="visible" r:id="rId2"/>
    <sheet name="Modules" sheetId="3" state="visible" r:id="rId3"/>
    <sheet name="Business" sheetId="4" state="visible" r:id="rId4"/>
    <sheet name="Powers" sheetId="5" state="visible" r:id="rId5"/>
    <sheet name="Composi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A3B26"/>
      <sz val="14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A3B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ATLAS Golden Master — Meridian Securities</t>
        </is>
      </c>
    </row>
    <row r="3">
      <c r="A3" t="inlineStr">
        <is>
          <t>Subject: Meridian Securities (composite mid-tier retail brokerage)</t>
        </is>
      </c>
    </row>
    <row r="4">
      <c r="A4" t="inlineStr">
        <is>
          <t>Methodology: v1.0  |  Status: draft-pending-ratification</t>
        </is>
      </c>
    </row>
    <row r="5">
      <c r="A5" t="inlineStr"/>
    </row>
    <row r="6">
      <c r="A6" s="2" t="inlineStr">
        <is>
          <t>This workbook computes one complete assessment with LIVE formulas. Edit a Level on the</t>
        </is>
      </c>
    </row>
    <row r="7">
      <c r="A7" t="inlineStr">
        <is>
          <t>Subcomponents sheet (Basic/Developing/Advanced/Frontier, or blank + a State of</t>
        </is>
      </c>
    </row>
    <row r="8">
      <c r="A8" t="inlineStr">
        <is>
          <t>NOT_APPLICABLE / NOT_ASSESSED) and q_m, L, B, P and V recompute. Rating-gate bands are</t>
        </is>
      </c>
    </row>
    <row r="9">
      <c r="A9" t="inlineStr">
        <is>
          <t>rule-based (non-arithmetic, Methodology §5.2) and shown as computed values on Modules.</t>
        </is>
      </c>
    </row>
    <row r="10">
      <c r="A10" t="inlineStr"/>
    </row>
    <row r="11">
      <c r="A11" s="2" t="inlineStr">
        <is>
          <t>DRAFT judgement calls for John to ratify: the subcomponent levels/evidence; the critical</t>
        </is>
      </c>
    </row>
    <row r="12">
      <c r="A12" t="inlineStr">
        <is>
          <t>flags; the uniform draft coefficients (α, δ, λ, θ, weights); the power-strength encoding</t>
        </is>
      </c>
    </row>
    <row r="13">
      <c r="A13" t="inlineStr">
        <is>
          <t>(None=0, Emerging=0.4, Established=0.7, Wide=1.0); and the rating-gate rule. After an</t>
        </is>
      </c>
    </row>
    <row r="14">
      <c r="A14" t="inlineStr">
        <is>
          <t>edit, save, then run scripts/regen_golden_master_json.py to refresh the JSON fixture.</t>
        </is>
      </c>
    </row>
    <row r="15">
      <c r="A15" t="inlineStr"/>
    </row>
    <row r="16">
      <c r="A16" t="inlineStr">
        <is>
          <t>Computed headline: B=0.679138  P=0.271429  L=0.483539  →  V=0.478586 (display 47.8586).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2" customWidth="1" min="4" max="4"/>
    <col width="16" customWidth="1" min="7" max="7"/>
  </cols>
  <sheetData>
    <row r="1">
      <c r="A1" s="3" t="inlineStr">
        <is>
          <t>Module</t>
        </is>
      </c>
      <c r="B1" s="3" t="inlineStr">
        <is>
          <t>Subcomponent</t>
        </is>
      </c>
      <c r="C1" s="3" t="inlineStr">
        <is>
          <t>Critical</t>
        </is>
      </c>
      <c r="D1" s="3" t="inlineStr">
        <is>
          <t>Level</t>
        </is>
      </c>
      <c r="E1" s="3" t="inlineStr">
        <is>
          <t>Index</t>
        </is>
      </c>
      <c r="F1" s="3" t="inlineStr">
        <is>
          <t>Evidence</t>
        </is>
      </c>
      <c r="G1" s="3" t="inlineStr">
        <is>
          <t>State</t>
        </is>
      </c>
    </row>
    <row r="2">
      <c r="A2" t="inlineStr">
        <is>
          <t>FRONTEND</t>
        </is>
      </c>
      <c r="B2" t="inlineStr">
        <is>
          <t>PERFORMANCE</t>
        </is>
      </c>
      <c r="C2" t="inlineStr">
        <is>
          <t>Yes</t>
        </is>
      </c>
      <c r="D2" t="inlineStr">
        <is>
          <t>Advanced</t>
        </is>
      </c>
      <c r="E2">
        <f>IF($D2="","",IF($D2="Basic",0.2,IF($D2="Developing",0.5,IF($D2="Advanced",0.8,IF($D2="Frontier",1,"")))))</f>
        <v/>
      </c>
      <c r="F2" t="inlineStr">
        <is>
          <t>E3</t>
        </is>
      </c>
      <c r="G2" t="inlineStr"/>
    </row>
    <row r="3">
      <c r="A3" t="inlineStr">
        <is>
          <t>FRONTEND</t>
        </is>
      </c>
      <c r="B3" t="inlineStr">
        <is>
          <t>UX_NAVIGATION</t>
        </is>
      </c>
      <c r="C3" t="inlineStr">
        <is>
          <t>Yes</t>
        </is>
      </c>
      <c r="D3" t="inlineStr">
        <is>
          <t>Advanced</t>
        </is>
      </c>
      <c r="E3">
        <f>IF($D3="","",IF($D3="Basic",0.2,IF($D3="Developing",0.5,IF($D3="Advanced",0.8,IF($D3="Frontier",1,"")))))</f>
        <v/>
      </c>
      <c r="F3" t="inlineStr">
        <is>
          <t>E4</t>
        </is>
      </c>
      <c r="G3" t="inlineStr"/>
    </row>
    <row r="4">
      <c r="A4" t="inlineStr">
        <is>
          <t>FRONTEND</t>
        </is>
      </c>
      <c r="B4" t="inlineStr">
        <is>
          <t>DEVICE_COVERAGE</t>
        </is>
      </c>
      <c r="C4" t="inlineStr"/>
      <c r="D4" t="inlineStr">
        <is>
          <t>Developing</t>
        </is>
      </c>
      <c r="E4">
        <f>IF($D4="","",IF($D4="Basic",0.2,IF($D4="Developing",0.5,IF($D4="Advanced",0.8,IF($D4="Frontier",1,"")))))</f>
        <v/>
      </c>
      <c r="F4" t="inlineStr">
        <is>
          <t>E2</t>
        </is>
      </c>
      <c r="G4" t="inlineStr"/>
    </row>
    <row r="5">
      <c r="A5" t="inlineStr">
        <is>
          <t>FRONTEND</t>
        </is>
      </c>
      <c r="B5" t="inlineStr">
        <is>
          <t>PERSONALISATION</t>
        </is>
      </c>
      <c r="C5" t="inlineStr"/>
      <c r="D5" t="inlineStr">
        <is>
          <t>Developing</t>
        </is>
      </c>
      <c r="E5">
        <f>IF($D5="","",IF($D5="Basic",0.2,IF($D5="Developing",0.5,IF($D5="Advanced",0.8,IF($D5="Frontier",1,"")))))</f>
        <v/>
      </c>
      <c r="F5" t="inlineStr">
        <is>
          <t>E2</t>
        </is>
      </c>
      <c r="G5" t="inlineStr"/>
    </row>
    <row r="6">
      <c r="A6" t="inlineStr">
        <is>
          <t>FRONTEND</t>
        </is>
      </c>
      <c r="B6" t="inlineStr">
        <is>
          <t>ACCESSIBILITY_LOCALISATION</t>
        </is>
      </c>
      <c r="C6" t="inlineStr"/>
      <c r="D6" t="inlineStr">
        <is>
          <t>Basic</t>
        </is>
      </c>
      <c r="E6">
        <f>IF($D6="","",IF($D6="Basic",0.2,IF($D6="Developing",0.5,IF($D6="Advanced",0.8,IF($D6="Frontier",1,"")))))</f>
        <v/>
      </c>
      <c r="F6" t="inlineStr">
        <is>
          <t>E2</t>
        </is>
      </c>
      <c r="G6" t="inlineStr"/>
    </row>
    <row r="7">
      <c r="A7" t="inlineStr">
        <is>
          <t>FRONTEND</t>
        </is>
      </c>
      <c r="B7" t="inlineStr">
        <is>
          <t>EXPERIMENTATION_ANALYTICS</t>
        </is>
      </c>
      <c r="C7" t="inlineStr"/>
      <c r="D7" t="inlineStr">
        <is>
          <t>Developing</t>
        </is>
      </c>
      <c r="E7">
        <f>IF($D7="","",IF($D7="Basic",0.2,IF($D7="Developing",0.5,IF($D7="Advanced",0.8,IF($D7="Frontier",1,"")))))</f>
        <v/>
      </c>
      <c r="F7" t="inlineStr">
        <is>
          <t>E3</t>
        </is>
      </c>
      <c r="G7" t="inlineStr"/>
    </row>
    <row r="8">
      <c r="A8" t="inlineStr">
        <is>
          <t>APP_SERVER</t>
        </is>
      </c>
      <c r="B8" t="inlineStr">
        <is>
          <t>HOSTING_ELASTICITY</t>
        </is>
      </c>
      <c r="C8" t="inlineStr"/>
      <c r="D8" t="inlineStr">
        <is>
          <t>Advanced</t>
        </is>
      </c>
      <c r="E8">
        <f>IF($D8="","",IF($D8="Basic",0.2,IF($D8="Developing",0.5,IF($D8="Advanced",0.8,IF($D8="Frontier",1,"")))))</f>
        <v/>
      </c>
      <c r="F8" t="inlineStr">
        <is>
          <t>E3</t>
        </is>
      </c>
      <c r="G8" t="inlineStr"/>
    </row>
    <row r="9">
      <c r="A9" t="inlineStr">
        <is>
          <t>APP_SERVER</t>
        </is>
      </c>
      <c r="B9" t="inlineStr">
        <is>
          <t>RESILIENCE_DR</t>
        </is>
      </c>
      <c r="C9" t="inlineStr">
        <is>
          <t>Yes</t>
        </is>
      </c>
      <c r="D9" t="inlineStr">
        <is>
          <t>Developing</t>
        </is>
      </c>
      <c r="E9">
        <f>IF($D9="","",IF($D9="Basic",0.2,IF($D9="Developing",0.5,IF($D9="Advanced",0.8,IF($D9="Frontier",1,"")))))</f>
        <v/>
      </c>
      <c r="F9" t="inlineStr">
        <is>
          <t>E3</t>
        </is>
      </c>
      <c r="G9" t="inlineStr"/>
    </row>
    <row r="10">
      <c r="A10" t="inlineStr">
        <is>
          <t>APP_SERVER</t>
        </is>
      </c>
      <c r="B10" t="inlineStr">
        <is>
          <t>API_DESIGN</t>
        </is>
      </c>
      <c r="C10" t="inlineStr"/>
      <c r="D10" t="inlineStr">
        <is>
          <t>Advanced</t>
        </is>
      </c>
      <c r="E10">
        <f>IF($D10="","",IF($D10="Basic",0.2,IF($D10="Developing",0.5,IF($D10="Advanced",0.8,IF($D10="Frontier",1,"")))))</f>
        <v/>
      </c>
      <c r="F10" t="inlineStr">
        <is>
          <t>E3</t>
        </is>
      </c>
      <c r="G10" t="inlineStr"/>
    </row>
    <row r="11">
      <c r="A11" t="inlineStr">
        <is>
          <t>APP_SERVER</t>
        </is>
      </c>
      <c r="B11" t="inlineStr">
        <is>
          <t>SECURITY_COMPLIANCE</t>
        </is>
      </c>
      <c r="C11" t="inlineStr">
        <is>
          <t>Yes</t>
        </is>
      </c>
      <c r="D11" t="inlineStr">
        <is>
          <t>Advanced</t>
        </is>
      </c>
      <c r="E11">
        <f>IF($D11="","",IF($D11="Basic",0.2,IF($D11="Developing",0.5,IF($D11="Advanced",0.8,IF($D11="Frontier",1,"")))))</f>
        <v/>
      </c>
      <c r="F11" t="inlineStr">
        <is>
          <t>E4</t>
        </is>
      </c>
      <c r="G11" t="inlineStr"/>
    </row>
    <row r="12">
      <c r="A12" t="inlineStr">
        <is>
          <t>APP_SERVER</t>
        </is>
      </c>
      <c r="B12" t="inlineStr">
        <is>
          <t>DEVOPS_DEPLOYMENT</t>
        </is>
      </c>
      <c r="C12" t="inlineStr"/>
      <c r="D12" t="inlineStr">
        <is>
          <t>Developing</t>
        </is>
      </c>
      <c r="E12">
        <f>IF($D12="","",IF($D12="Basic",0.2,IF($D12="Developing",0.5,IF($D12="Advanced",0.8,IF($D12="Frontier",1,"")))))</f>
        <v/>
      </c>
      <c r="F12" t="inlineStr">
        <is>
          <t>E2</t>
        </is>
      </c>
      <c r="G12" t="inlineStr"/>
    </row>
    <row r="13">
      <c r="A13" t="inlineStr">
        <is>
          <t>APP_SERVER</t>
        </is>
      </c>
      <c r="B13" t="inlineStr">
        <is>
          <t>DATA_ARCHITECTURE</t>
        </is>
      </c>
      <c r="C13" t="inlineStr"/>
      <c r="D13" t="inlineStr">
        <is>
          <t>Developing</t>
        </is>
      </c>
      <c r="E13">
        <f>IF($D13="","",IF($D13="Basic",0.2,IF($D13="Developing",0.5,IF($D13="Advanced",0.8,IF($D13="Frontier",1,"")))))</f>
        <v/>
      </c>
      <c r="F13" t="inlineStr">
        <is>
          <t>E2</t>
        </is>
      </c>
      <c r="G13" t="inlineStr"/>
    </row>
    <row r="14">
      <c r="A14" t="inlineStr">
        <is>
          <t>APP_SERVER</t>
        </is>
      </c>
      <c r="B14" t="inlineStr">
        <is>
          <t>OBSERVABILITY</t>
        </is>
      </c>
      <c r="C14" t="inlineStr"/>
      <c r="D14" t="inlineStr">
        <is>
          <t>Advanced</t>
        </is>
      </c>
      <c r="E14">
        <f>IF($D14="","",IF($D14="Basic",0.2,IF($D14="Developing",0.5,IF($D14="Advanced",0.8,IF($D14="Frontier",1,"")))))</f>
        <v/>
      </c>
      <c r="F14" t="inlineStr">
        <is>
          <t>E3</t>
        </is>
      </c>
      <c r="G14" t="inlineStr"/>
    </row>
    <row r="15">
      <c r="A15" t="inlineStr">
        <is>
          <t>MARKET_DATA</t>
        </is>
      </c>
      <c r="B15" t="inlineStr">
        <is>
          <t>EXCHANGE_COVERAGE</t>
        </is>
      </c>
      <c r="C15" t="inlineStr"/>
      <c r="D15" t="inlineStr">
        <is>
          <t>Advanced</t>
        </is>
      </c>
      <c r="E15">
        <f>IF($D15="","",IF($D15="Basic",0.2,IF($D15="Developing",0.5,IF($D15="Advanced",0.8,IF($D15="Frontier",1,"")))))</f>
        <v/>
      </c>
      <c r="F15" t="inlineStr">
        <is>
          <t>E3</t>
        </is>
      </c>
      <c r="G15" t="inlineStr"/>
    </row>
    <row r="16">
      <c r="A16" t="inlineStr">
        <is>
          <t>MARKET_DATA</t>
        </is>
      </c>
      <c r="B16" t="inlineStr">
        <is>
          <t>INSTRUMENT_UNIVERSE</t>
        </is>
      </c>
      <c r="C16" t="inlineStr"/>
      <c r="D16" t="inlineStr">
        <is>
          <t>Advanced</t>
        </is>
      </c>
      <c r="E16">
        <f>IF($D16="","",IF($D16="Basic",0.2,IF($D16="Developing",0.5,IF($D16="Advanced",0.8,IF($D16="Frontier",1,"")))))</f>
        <v/>
      </c>
      <c r="F16" t="inlineStr">
        <is>
          <t>E2</t>
        </is>
      </c>
      <c r="G16" t="inlineStr"/>
    </row>
    <row r="17">
      <c r="A17" t="inlineStr">
        <is>
          <t>MARKET_DATA</t>
        </is>
      </c>
      <c r="B17" t="inlineStr">
        <is>
          <t>DATA_DEPTH_QUALITY</t>
        </is>
      </c>
      <c r="C17" t="inlineStr">
        <is>
          <t>Yes</t>
        </is>
      </c>
      <c r="D17" t="inlineStr">
        <is>
          <t>Advanced</t>
        </is>
      </c>
      <c r="E17">
        <f>IF($D17="","",IF($D17="Basic",0.2,IF($D17="Developing",0.5,IF($D17="Advanced",0.8,IF($D17="Frontier",1,"")))))</f>
        <v/>
      </c>
      <c r="F17" t="inlineStr">
        <is>
          <t>E3</t>
        </is>
      </c>
      <c r="G17" t="inlineStr"/>
    </row>
    <row r="18">
      <c r="A18" t="inlineStr">
        <is>
          <t>MARKET_DATA</t>
        </is>
      </c>
      <c r="B18" t="inlineStr">
        <is>
          <t>LATENCY_TIMELINESS</t>
        </is>
      </c>
      <c r="C18" t="inlineStr">
        <is>
          <t>Yes</t>
        </is>
      </c>
      <c r="D18" t="inlineStr">
        <is>
          <t>Developing</t>
        </is>
      </c>
      <c r="E18">
        <f>IF($D18="","",IF($D18="Basic",0.2,IF($D18="Developing",0.5,IF($D18="Advanced",0.8,IF($D18="Frontier",1,"")))))</f>
        <v/>
      </c>
      <c r="F18" t="inlineStr">
        <is>
          <t>E3</t>
        </is>
      </c>
      <c r="G18" t="inlineStr"/>
    </row>
    <row r="19">
      <c r="A19" t="inlineStr">
        <is>
          <t>MARKET_DATA</t>
        </is>
      </c>
      <c r="B19" t="inlineStr">
        <is>
          <t>HISTORY_DEPTH</t>
        </is>
      </c>
      <c r="C19" t="inlineStr"/>
      <c r="D19" t="inlineStr">
        <is>
          <t>Developing</t>
        </is>
      </c>
      <c r="E19">
        <f>IF($D19="","",IF($D19="Basic",0.2,IF($D19="Developing",0.5,IF($D19="Advanced",0.8,IF($D19="Frontier",1,"")))))</f>
        <v/>
      </c>
      <c r="F19" t="inlineStr">
        <is>
          <t>E2</t>
        </is>
      </c>
      <c r="G19" t="inlineStr"/>
    </row>
    <row r="20">
      <c r="A20" t="inlineStr">
        <is>
          <t>MARKET_DATA</t>
        </is>
      </c>
      <c r="B20" t="inlineStr">
        <is>
          <t>VENDOR_REDUNDANCY</t>
        </is>
      </c>
      <c r="C20" t="inlineStr"/>
      <c r="D20" t="inlineStr">
        <is>
          <t>Basic</t>
        </is>
      </c>
      <c r="E20">
        <f>IF($D20="","",IF($D20="Basic",0.2,IF($D20="Developing",0.5,IF($D20="Advanced",0.8,IF($D20="Frontier",1,"")))))</f>
        <v/>
      </c>
      <c r="F20" t="inlineStr">
        <is>
          <t>E2</t>
        </is>
      </c>
      <c r="G20" t="inlineStr"/>
    </row>
    <row r="21">
      <c r="A21" t="inlineStr">
        <is>
          <t>MARKET_DATA</t>
        </is>
      </c>
      <c r="B21" t="inlineStr">
        <is>
          <t>VALUE_ADD_SERVICES</t>
        </is>
      </c>
      <c r="C21" t="inlineStr"/>
      <c r="D21" t="inlineStr"/>
      <c r="E21">
        <f>IF($D21="","",IF($D21="Basic",0.2,IF($D21="Developing",0.5,IF($D21="Advanced",0.8,IF($D21="Frontier",1,"")))))</f>
        <v/>
      </c>
      <c r="F21" t="inlineStr"/>
      <c r="G21" t="inlineStr">
        <is>
          <t>NOT_ASSESSED</t>
        </is>
      </c>
    </row>
    <row r="22">
      <c r="A22" t="inlineStr">
        <is>
          <t>ORCHESTRATION</t>
        </is>
      </c>
      <c r="B22" t="inlineStr">
        <is>
          <t>WORKFLOW_ENGINE</t>
        </is>
      </c>
      <c r="C22" t="inlineStr">
        <is>
          <t>Yes</t>
        </is>
      </c>
      <c r="D22" t="inlineStr">
        <is>
          <t>Developing</t>
        </is>
      </c>
      <c r="E22">
        <f>IF($D22="","",IF($D22="Basic",0.2,IF($D22="Developing",0.5,IF($D22="Advanced",0.8,IF($D22="Frontier",1,"")))))</f>
        <v/>
      </c>
      <c r="F22" t="inlineStr">
        <is>
          <t>E3</t>
        </is>
      </c>
      <c r="G22" t="inlineStr"/>
    </row>
    <row r="23">
      <c r="A23" t="inlineStr">
        <is>
          <t>ORCHESTRATION</t>
        </is>
      </c>
      <c r="B23" t="inlineStr">
        <is>
          <t>ROUTING_LOGIC</t>
        </is>
      </c>
      <c r="C23" t="inlineStr"/>
      <c r="D23" t="inlineStr">
        <is>
          <t>Developing</t>
        </is>
      </c>
      <c r="E23">
        <f>IF($D23="","",IF($D23="Basic",0.2,IF($D23="Developing",0.5,IF($D23="Advanced",0.8,IF($D23="Frontier",1,"")))))</f>
        <v/>
      </c>
      <c r="F23" t="inlineStr">
        <is>
          <t>E2</t>
        </is>
      </c>
      <c r="G23" t="inlineStr"/>
    </row>
    <row r="24">
      <c r="A24" t="inlineStr">
        <is>
          <t>ORCHESTRATION</t>
        </is>
      </c>
      <c r="B24" t="inlineStr">
        <is>
          <t>EVENT_DRIVEN</t>
        </is>
      </c>
      <c r="C24" t="inlineStr"/>
      <c r="D24" t="inlineStr">
        <is>
          <t>Basic</t>
        </is>
      </c>
      <c r="E24">
        <f>IF($D24="","",IF($D24="Basic",0.2,IF($D24="Developing",0.5,IF($D24="Advanced",0.8,IF($D24="Frontier",1,"")))))</f>
        <v/>
      </c>
      <c r="F24" t="inlineStr">
        <is>
          <t>E2</t>
        </is>
      </c>
      <c r="G24" t="inlineStr"/>
    </row>
    <row r="25">
      <c r="A25" t="inlineStr">
        <is>
          <t>ORCHESTRATION</t>
        </is>
      </c>
      <c r="B25" t="inlineStr">
        <is>
          <t>CONFIG_VS_CODE</t>
        </is>
      </c>
      <c r="C25" t="inlineStr"/>
      <c r="D25" t="inlineStr">
        <is>
          <t>Developing</t>
        </is>
      </c>
      <c r="E25">
        <f>IF($D25="","",IF($D25="Basic",0.2,IF($D25="Developing",0.5,IF($D25="Advanced",0.8,IF($D25="Frontier",1,"")))))</f>
        <v/>
      </c>
      <c r="F25" t="inlineStr">
        <is>
          <t>E2</t>
        </is>
      </c>
      <c r="G25" t="inlineStr"/>
    </row>
    <row r="26">
      <c r="A26" t="inlineStr">
        <is>
          <t>ORCHESTRATION</t>
        </is>
      </c>
      <c r="B26" t="inlineStr">
        <is>
          <t>ORCH_MONITORING</t>
        </is>
      </c>
      <c r="C26" t="inlineStr"/>
      <c r="D26" t="inlineStr">
        <is>
          <t>Developing</t>
        </is>
      </c>
      <c r="E26">
        <f>IF($D26="","",IF($D26="Basic",0.2,IF($D26="Developing",0.5,IF($D26="Advanced",0.8,IF($D26="Frontier",1,"")))))</f>
        <v/>
      </c>
      <c r="F26" t="inlineStr">
        <is>
          <t>E3</t>
        </is>
      </c>
      <c r="G26" t="inlineStr"/>
    </row>
    <row r="27">
      <c r="A27" t="inlineStr">
        <is>
          <t>CMS</t>
        </is>
      </c>
      <c r="B27" t="inlineStr">
        <is>
          <t>RESEARCH_AUTHORING</t>
        </is>
      </c>
      <c r="C27" t="inlineStr"/>
      <c r="D27" t="inlineStr">
        <is>
          <t>Advanced</t>
        </is>
      </c>
      <c r="E27">
        <f>IF($D27="","",IF($D27="Basic",0.2,IF($D27="Developing",0.5,IF($D27="Advanced",0.8,IF($D27="Frontier",1,"")))))</f>
        <v/>
      </c>
      <c r="F27" t="inlineStr">
        <is>
          <t>E3</t>
        </is>
      </c>
      <c r="G27" t="inlineStr"/>
    </row>
    <row r="28">
      <c r="A28" t="inlineStr">
        <is>
          <t>CMS</t>
        </is>
      </c>
      <c r="B28" t="inlineStr">
        <is>
          <t>RESEARCH_DISTRIBUTION</t>
        </is>
      </c>
      <c r="C28" t="inlineStr"/>
      <c r="D28" t="inlineStr">
        <is>
          <t>Developing</t>
        </is>
      </c>
      <c r="E28">
        <f>IF($D28="","",IF($D28="Basic",0.2,IF($D28="Developing",0.5,IF($D28="Advanced",0.8,IF($D28="Frontier",1,"")))))</f>
        <v/>
      </c>
      <c r="F28" t="inlineStr">
        <is>
          <t>E2</t>
        </is>
      </c>
      <c r="G28" t="inlineStr"/>
    </row>
    <row r="29">
      <c r="A29" t="inlineStr">
        <is>
          <t>CMS</t>
        </is>
      </c>
      <c r="B29" t="inlineStr">
        <is>
          <t>EMAIL_CAMPAIGNS</t>
        </is>
      </c>
      <c r="C29" t="inlineStr"/>
      <c r="D29" t="inlineStr">
        <is>
          <t>Advanced</t>
        </is>
      </c>
      <c r="E29">
        <f>IF($D29="","",IF($D29="Basic",0.2,IF($D29="Developing",0.5,IF($D29="Advanced",0.8,IF($D29="Frontier",1,"")))))</f>
        <v/>
      </c>
      <c r="F29" t="inlineStr">
        <is>
          <t>E3</t>
        </is>
      </c>
      <c r="G29" t="inlineStr"/>
    </row>
    <row r="30">
      <c r="A30" t="inlineStr">
        <is>
          <t>CMS</t>
        </is>
      </c>
      <c r="B30" t="inlineStr">
        <is>
          <t>CRM_MODEL</t>
        </is>
      </c>
      <c r="C30" t="inlineStr">
        <is>
          <t>Yes</t>
        </is>
      </c>
      <c r="D30" t="inlineStr">
        <is>
          <t>Developing</t>
        </is>
      </c>
      <c r="E30">
        <f>IF($D30="","",IF($D30="Basic",0.2,IF($D30="Developing",0.5,IF($D30="Advanced",0.8,IF($D30="Frontier",1,"")))))</f>
        <v/>
      </c>
      <c r="F30" t="inlineStr">
        <is>
          <t>E3</t>
        </is>
      </c>
      <c r="G30" t="inlineStr"/>
    </row>
    <row r="31">
      <c r="A31" t="inlineStr">
        <is>
          <t>CMS</t>
        </is>
      </c>
      <c r="B31" t="inlineStr">
        <is>
          <t>STATEMENTS</t>
        </is>
      </c>
      <c r="C31" t="inlineStr"/>
      <c r="D31" t="inlineStr">
        <is>
          <t>Advanced</t>
        </is>
      </c>
      <c r="E31">
        <f>IF($D31="","",IF($D31="Basic",0.2,IF($D31="Developing",0.5,IF($D31="Advanced",0.8,IF($D31="Frontier",1,"")))))</f>
        <v/>
      </c>
      <c r="F31" t="inlineStr">
        <is>
          <t>E3</t>
        </is>
      </c>
      <c r="G31" t="inlineStr"/>
    </row>
    <row r="32">
      <c r="A32" t="inlineStr">
        <is>
          <t>CMS</t>
        </is>
      </c>
      <c r="B32" t="inlineStr">
        <is>
          <t>CONTENT_SEARCH_PERSONALISATION</t>
        </is>
      </c>
      <c r="C32" t="inlineStr"/>
      <c r="D32" t="inlineStr">
        <is>
          <t>Basic</t>
        </is>
      </c>
      <c r="E32">
        <f>IF($D32="","",IF($D32="Basic",0.2,IF($D32="Developing",0.5,IF($D32="Advanced",0.8,IF($D32="Frontier",1,"")))))</f>
        <v/>
      </c>
      <c r="F32" t="inlineStr">
        <is>
          <t>E2</t>
        </is>
      </c>
      <c r="G32" t="inlineStr"/>
    </row>
    <row r="33">
      <c r="A33" t="inlineStr">
        <is>
          <t>BACKOFFICE</t>
        </is>
      </c>
      <c r="B33" t="inlineStr">
        <is>
          <t>CUSTODY</t>
        </is>
      </c>
      <c r="C33" t="inlineStr">
        <is>
          <t>Yes</t>
        </is>
      </c>
      <c r="D33" t="inlineStr">
        <is>
          <t>Advanced</t>
        </is>
      </c>
      <c r="E33">
        <f>IF($D33="","",IF($D33="Basic",0.2,IF($D33="Developing",0.5,IF($D33="Advanced",0.8,IF($D33="Frontier",1,"")))))</f>
        <v/>
      </c>
      <c r="F33" t="inlineStr">
        <is>
          <t>E4</t>
        </is>
      </c>
      <c r="G33" t="inlineStr"/>
    </row>
    <row r="34">
      <c r="A34" t="inlineStr">
        <is>
          <t>BACKOFFICE</t>
        </is>
      </c>
      <c r="B34" t="inlineStr">
        <is>
          <t>PAYMENTS_FUNDING</t>
        </is>
      </c>
      <c r="C34" t="inlineStr"/>
      <c r="D34" t="inlineStr">
        <is>
          <t>Advanced</t>
        </is>
      </c>
      <c r="E34">
        <f>IF($D34="","",IF($D34="Basic",0.2,IF($D34="Developing",0.5,IF($D34="Advanced",0.8,IF($D34="Frontier",1,"")))))</f>
        <v/>
      </c>
      <c r="F34" t="inlineStr">
        <is>
          <t>E3</t>
        </is>
      </c>
      <c r="G34" t="inlineStr"/>
    </row>
    <row r="35">
      <c r="A35" t="inlineStr">
        <is>
          <t>BACKOFFICE</t>
        </is>
      </c>
      <c r="B35" t="inlineStr">
        <is>
          <t>KYC_ONBOARDING</t>
        </is>
      </c>
      <c r="C35" t="inlineStr"/>
      <c r="D35" t="inlineStr">
        <is>
          <t>Advanced</t>
        </is>
      </c>
      <c r="E35">
        <f>IF($D35="","",IF($D35="Basic",0.2,IF($D35="Developing",0.5,IF($D35="Advanced",0.8,IF($D35="Frontier",1,"")))))</f>
        <v/>
      </c>
      <c r="F35" t="inlineStr">
        <is>
          <t>E3</t>
        </is>
      </c>
      <c r="G35" t="inlineStr"/>
    </row>
    <row r="36">
      <c r="A36" t="inlineStr">
        <is>
          <t>BACKOFFICE</t>
        </is>
      </c>
      <c r="B36" t="inlineStr">
        <is>
          <t>PORTFOLIO_MGMT</t>
        </is>
      </c>
      <c r="C36" t="inlineStr"/>
      <c r="D36" t="inlineStr">
        <is>
          <t>Developing</t>
        </is>
      </c>
      <c r="E36">
        <f>IF($D36="","",IF($D36="Basic",0.2,IF($D36="Developing",0.5,IF($D36="Advanced",0.8,IF($D36="Frontier",1,"")))))</f>
        <v/>
      </c>
      <c r="F36" t="inlineStr">
        <is>
          <t>E2</t>
        </is>
      </c>
      <c r="G36" t="inlineStr"/>
    </row>
    <row r="37">
      <c r="A37" t="inlineStr">
        <is>
          <t>BACKOFFICE</t>
        </is>
      </c>
      <c r="B37" t="inlineStr">
        <is>
          <t>CREDIT_RISK</t>
        </is>
      </c>
      <c r="C37" t="inlineStr"/>
      <c r="D37" t="inlineStr">
        <is>
          <t>Developing</t>
        </is>
      </c>
      <c r="E37">
        <f>IF($D37="","",IF($D37="Basic",0.2,IF($D37="Developing",0.5,IF($D37="Advanced",0.8,IF($D37="Frontier",1,"")))))</f>
        <v/>
      </c>
      <c r="F37" t="inlineStr">
        <is>
          <t>E2</t>
        </is>
      </c>
      <c r="G37" t="inlineStr"/>
    </row>
    <row r="38">
      <c r="A38" t="inlineStr">
        <is>
          <t>BACKOFFICE</t>
        </is>
      </c>
      <c r="B38" t="inlineStr">
        <is>
          <t>REG_REPORTING</t>
        </is>
      </c>
      <c r="C38" t="inlineStr">
        <is>
          <t>Yes</t>
        </is>
      </c>
      <c r="D38" t="inlineStr">
        <is>
          <t>Advanced</t>
        </is>
      </c>
      <c r="E38">
        <f>IF($D38="","",IF($D38="Basic",0.2,IF($D38="Developing",0.5,IF($D38="Advanced",0.8,IF($D38="Frontier",1,"")))))</f>
        <v/>
      </c>
      <c r="F38" t="inlineStr">
        <is>
          <t>E4</t>
        </is>
      </c>
      <c r="G38" t="inlineStr"/>
    </row>
    <row r="39">
      <c r="A39" t="inlineStr">
        <is>
          <t>OEMS</t>
        </is>
      </c>
      <c r="B39" t="inlineStr">
        <is>
          <t>ASSET_COVERAGE</t>
        </is>
      </c>
      <c r="C39" t="inlineStr"/>
      <c r="D39" t="inlineStr">
        <is>
          <t>Developing</t>
        </is>
      </c>
      <c r="E39">
        <f>IF($D39="","",IF($D39="Basic",0.2,IF($D39="Developing",0.5,IF($D39="Advanced",0.8,IF($D39="Frontier",1,"")))))</f>
        <v/>
      </c>
      <c r="F39" t="inlineStr">
        <is>
          <t>E2</t>
        </is>
      </c>
      <c r="G39" t="inlineStr"/>
    </row>
    <row r="40">
      <c r="A40" t="inlineStr">
        <is>
          <t>OEMS</t>
        </is>
      </c>
      <c r="B40" t="inlineStr">
        <is>
          <t>EXEC_ALGOS</t>
        </is>
      </c>
      <c r="C40" t="inlineStr"/>
      <c r="D40" t="inlineStr">
        <is>
          <t>Basic</t>
        </is>
      </c>
      <c r="E40">
        <f>IF($D40="","",IF($D40="Basic",0.2,IF($D40="Developing",0.5,IF($D40="Advanced",0.8,IF($D40="Frontier",1,"")))))</f>
        <v/>
      </c>
      <c r="F40" t="inlineStr">
        <is>
          <t>E2</t>
        </is>
      </c>
      <c r="G40" t="inlineStr"/>
    </row>
    <row r="41">
      <c r="A41" t="inlineStr">
        <is>
          <t>OEMS</t>
        </is>
      </c>
      <c r="B41" t="inlineStr">
        <is>
          <t>PRE_TRADE_RISK</t>
        </is>
      </c>
      <c r="C41" t="inlineStr">
        <is>
          <t>Yes</t>
        </is>
      </c>
      <c r="D41" t="inlineStr">
        <is>
          <t>Advanced</t>
        </is>
      </c>
      <c r="E41">
        <f>IF($D41="","",IF($D41="Basic",0.2,IF($D41="Developing",0.5,IF($D41="Advanced",0.8,IF($D41="Frontier",1,"")))))</f>
        <v/>
      </c>
      <c r="F41" t="inlineStr">
        <is>
          <t>E3</t>
        </is>
      </c>
      <c r="G41" t="inlineStr"/>
    </row>
    <row r="42">
      <c r="A42" t="inlineStr">
        <is>
          <t>OEMS</t>
        </is>
      </c>
      <c r="B42" t="inlineStr">
        <is>
          <t>ORDER_TYPES</t>
        </is>
      </c>
      <c r="C42" t="inlineStr"/>
      <c r="D42" t="inlineStr">
        <is>
          <t>Developing</t>
        </is>
      </c>
      <c r="E42">
        <f>IF($D42="","",IF($D42="Basic",0.2,IF($D42="Developing",0.5,IF($D42="Advanced",0.8,IF($D42="Frontier",1,"")))))</f>
        <v/>
      </c>
      <c r="F42" t="inlineStr">
        <is>
          <t>E2</t>
        </is>
      </c>
      <c r="G42" t="inlineStr"/>
    </row>
    <row r="43">
      <c r="A43" t="inlineStr">
        <is>
          <t>OEMS</t>
        </is>
      </c>
      <c r="B43" t="inlineStr">
        <is>
          <t>OEMS_LATENCY_RELIABILITY</t>
        </is>
      </c>
      <c r="C43" t="inlineStr"/>
      <c r="D43" t="inlineStr">
        <is>
          <t>Developing</t>
        </is>
      </c>
      <c r="E43">
        <f>IF($D43="","",IF($D43="Basic",0.2,IF($D43="Developing",0.5,IF($D43="Advanced",0.8,IF($D43="Frontier",1,"")))))</f>
        <v/>
      </c>
      <c r="F43" t="inlineStr">
        <is>
          <t>E3</t>
        </is>
      </c>
      <c r="G43" t="inlineStr"/>
    </row>
    <row r="44">
      <c r="A44" t="inlineStr">
        <is>
          <t>OEMS</t>
        </is>
      </c>
      <c r="B44" t="inlineStr">
        <is>
          <t>OEMS_APIS_COLOCATION</t>
        </is>
      </c>
      <c r="C44" t="inlineStr"/>
      <c r="D44" t="inlineStr"/>
      <c r="E44">
        <f>IF($D44="","",IF($D44="Basic",0.2,IF($D44="Developing",0.5,IF($D44="Advanced",0.8,IF($D44="Frontier",1,"")))))</f>
        <v/>
      </c>
      <c r="F44" t="inlineStr"/>
      <c r="G44" t="inlineStr">
        <is>
          <t>NOT_APPLICABLE</t>
        </is>
      </c>
    </row>
    <row r="45">
      <c r="A45" t="inlineStr">
        <is>
          <t>EMS_GATEWAY</t>
        </is>
      </c>
      <c r="B45" t="inlineStr">
        <is>
          <t>EMS_CONNECTIVITY</t>
        </is>
      </c>
      <c r="C45" t="inlineStr"/>
      <c r="D45" t="inlineStr">
        <is>
          <t>Developing</t>
        </is>
      </c>
      <c r="E45">
        <f>IF($D45="","",IF($D45="Basic",0.2,IF($D45="Developing",0.5,IF($D45="Advanced",0.8,IF($D45="Frontier",1,"")))))</f>
        <v/>
      </c>
      <c r="F45" t="inlineStr">
        <is>
          <t>E2</t>
        </is>
      </c>
      <c r="G45" t="inlineStr"/>
    </row>
    <row r="46">
      <c r="A46" t="inlineStr">
        <is>
          <t>EMS_GATEWAY</t>
        </is>
      </c>
      <c r="B46" t="inlineStr">
        <is>
          <t>EMS_ROUTING_POLICY</t>
        </is>
      </c>
      <c r="C46" t="inlineStr"/>
      <c r="D46" t="inlineStr">
        <is>
          <t>Developing</t>
        </is>
      </c>
      <c r="E46">
        <f>IF($D46="","",IF($D46="Basic",0.2,IF($D46="Developing",0.5,IF($D46="Advanced",0.8,IF($D46="Frontier",1,"")))))</f>
        <v/>
      </c>
      <c r="F46" t="inlineStr">
        <is>
          <t>E2</t>
        </is>
      </c>
      <c r="G46" t="inlineStr"/>
    </row>
    <row r="47">
      <c r="A47" t="inlineStr">
        <is>
          <t>EMS_GATEWAY</t>
        </is>
      </c>
      <c r="B47" t="inlineStr">
        <is>
          <t>EMS_RISK_THROTTLING</t>
        </is>
      </c>
      <c r="C47" t="inlineStr">
        <is>
          <t>Yes</t>
        </is>
      </c>
      <c r="D47" t="inlineStr">
        <is>
          <t>Advanced</t>
        </is>
      </c>
      <c r="E47">
        <f>IF($D47="","",IF($D47="Basic",0.2,IF($D47="Developing",0.5,IF($D47="Advanced",0.8,IF($D47="Frontier",1,"")))))</f>
        <v/>
      </c>
      <c r="F47" t="inlineStr">
        <is>
          <t>E3</t>
        </is>
      </c>
      <c r="G47" t="inlineStr"/>
    </row>
    <row r="48">
      <c r="A48" t="inlineStr">
        <is>
          <t>EMS_GATEWAY</t>
        </is>
      </c>
      <c r="B48" t="inlineStr">
        <is>
          <t>EMS_MONITORING</t>
        </is>
      </c>
      <c r="C48" t="inlineStr"/>
      <c r="D48" t="inlineStr">
        <is>
          <t>Developing</t>
        </is>
      </c>
      <c r="E48">
        <f>IF($D48="","",IF($D48="Basic",0.2,IF($D48="Developing",0.5,IF($D48="Advanced",0.8,IF($D48="Frontier",1,"")))))</f>
        <v/>
      </c>
      <c r="F48" t="inlineStr">
        <is>
          <t>E2</t>
        </is>
      </c>
      <c r="G48" t="inlineStr"/>
    </row>
    <row r="49">
      <c r="A49" t="inlineStr">
        <is>
          <t>LIQ_CONNECT</t>
        </is>
      </c>
      <c r="B49" t="inlineStr">
        <is>
          <t>LOCAL_EXCHANGES</t>
        </is>
      </c>
      <c r="C49" t="inlineStr">
        <is>
          <t>Yes</t>
        </is>
      </c>
      <c r="D49" t="inlineStr">
        <is>
          <t>Advanced</t>
        </is>
      </c>
      <c r="E49">
        <f>IF($D49="","",IF($D49="Basic",0.2,IF($D49="Developing",0.5,IF($D49="Advanced",0.8,IF($D49="Frontier",1,"")))))</f>
        <v/>
      </c>
      <c r="F49" t="inlineStr">
        <is>
          <t>E3</t>
        </is>
      </c>
      <c r="G49" t="inlineStr"/>
    </row>
    <row r="50">
      <c r="A50" t="inlineStr">
        <is>
          <t>LIQ_CONNECT</t>
        </is>
      </c>
      <c r="B50" t="inlineStr">
        <is>
          <t>FOREIGN_BROKERS</t>
        </is>
      </c>
      <c r="C50" t="inlineStr"/>
      <c r="D50" t="inlineStr">
        <is>
          <t>Developing</t>
        </is>
      </c>
      <c r="E50">
        <f>IF($D50="","",IF($D50="Basic",0.2,IF($D50="Developing",0.5,IF($D50="Advanced",0.8,IF($D50="Frontier",1,"")))))</f>
        <v/>
      </c>
      <c r="F50" t="inlineStr">
        <is>
          <t>E2</t>
        </is>
      </c>
      <c r="G50" t="inlineStr"/>
    </row>
    <row r="51">
      <c r="A51" t="inlineStr">
        <is>
          <t>LIQ_CONNECT</t>
        </is>
      </c>
      <c r="B51" t="inlineStr">
        <is>
          <t>FUND_HOUSES</t>
        </is>
      </c>
      <c r="C51" t="inlineStr"/>
      <c r="D51" t="inlineStr"/>
      <c r="E51">
        <f>IF($D51="","",IF($D51="Basic",0.2,IF($D51="Developing",0.5,IF($D51="Advanced",0.8,IF($D51="Frontier",1,"")))))</f>
        <v/>
      </c>
      <c r="F51" t="inlineStr"/>
      <c r="G51" t="inlineStr">
        <is>
          <t>NOT_ASSESSED</t>
        </is>
      </c>
    </row>
    <row r="52">
      <c r="A52" t="inlineStr">
        <is>
          <t>LIQ_CONNECT</t>
        </is>
      </c>
      <c r="B52" t="inlineStr">
        <is>
          <t>SETTLEMENT_CLEARING</t>
        </is>
      </c>
      <c r="C52" t="inlineStr">
        <is>
          <t>Yes</t>
        </is>
      </c>
      <c r="D52" t="inlineStr">
        <is>
          <t>Advanced</t>
        </is>
      </c>
      <c r="E52">
        <f>IF($D52="","",IF($D52="Basic",0.2,IF($D52="Developing",0.5,IF($D52="Advanced",0.8,IF($D52="Frontier",1,"")))))</f>
        <v/>
      </c>
      <c r="F52" t="inlineStr">
        <is>
          <t>E3</t>
        </is>
      </c>
      <c r="G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6" max="6"/>
  </cols>
  <sheetData>
    <row r="1">
      <c r="A1" s="3" t="inlineStr">
        <is>
          <t>Module</t>
        </is>
      </c>
      <c r="B1" s="3" t="inlineStr">
        <is>
          <t>alpha</t>
        </is>
      </c>
      <c r="C1" s="3" t="inlineStr">
        <is>
          <t>weighted_avg</t>
        </is>
      </c>
      <c r="D1" s="3" t="inlineStr">
        <is>
          <t>min_term</t>
        </is>
      </c>
      <c r="E1" s="3" t="inlineStr">
        <is>
          <t>q_m</t>
        </is>
      </c>
      <c r="F1" s="3" t="inlineStr">
        <is>
          <t>gate_band</t>
        </is>
      </c>
      <c r="G1" s="3" t="inlineStr">
        <is>
          <t>gate_blocked</t>
        </is>
      </c>
      <c r="H1" s="3" t="inlineStr">
        <is>
          <t>coverage</t>
        </is>
      </c>
    </row>
    <row r="2">
      <c r="A2" t="inlineStr">
        <is>
          <t>FRONTEND</t>
        </is>
      </c>
      <c r="B2" t="n">
        <v>0.7</v>
      </c>
      <c r="C2">
        <f>IFERROR(AVERAGE(Subcomponents!$E$2:$E$7),"")</f>
        <v/>
      </c>
      <c r="D2">
        <f>MIN(Subcomponents!$E$2:$E$7)</f>
        <v/>
      </c>
      <c r="E2">
        <f>$B2*$C2+(1-$B2)*$D2</f>
        <v/>
      </c>
      <c r="F2" t="inlineStr">
        <is>
          <t>Developing</t>
        </is>
      </c>
      <c r="G2" t="inlineStr"/>
      <c r="H2">
        <f>IFERROR(COUNT(Subcomponents!$E$2:$E$7)/(COUNT(Subcomponents!$E$2:$E$7)+COUNTIF(Subcomponents!$G$2:$G$7,"NOT_ASSESSED")),"")</f>
        <v/>
      </c>
    </row>
    <row r="3">
      <c r="A3" t="inlineStr">
        <is>
          <t>APP_SERVER</t>
        </is>
      </c>
      <c r="B3" t="n">
        <v>0.7</v>
      </c>
      <c r="C3">
        <f>IFERROR(AVERAGE(Subcomponents!$E$8:$E$14),"")</f>
        <v/>
      </c>
      <c r="D3">
        <f>MIN(Subcomponents!$E$8:$E$14)</f>
        <v/>
      </c>
      <c r="E3">
        <f>$B3*$C3+(1-$B3)*$D3</f>
        <v/>
      </c>
      <c r="F3" t="inlineStr">
        <is>
          <t>Advanced</t>
        </is>
      </c>
      <c r="G3" t="inlineStr"/>
      <c r="H3">
        <f>IFERROR(COUNT(Subcomponents!$E$8:$E$14)/(COUNT(Subcomponents!$E$8:$E$14)+COUNTIF(Subcomponents!$G$8:$G$14,"NOT_ASSESSED")),"")</f>
        <v/>
      </c>
    </row>
    <row r="4">
      <c r="A4" t="inlineStr">
        <is>
          <t>MARKET_DATA</t>
        </is>
      </c>
      <c r="B4" t="n">
        <v>0.7</v>
      </c>
      <c r="C4">
        <f>IFERROR(AVERAGE(Subcomponents!$E$15:$E$21),"")</f>
        <v/>
      </c>
      <c r="D4">
        <f>MIN(Subcomponents!$E$15:$E$21)</f>
        <v/>
      </c>
      <c r="E4">
        <f>$B4*$C4+(1-$B4)*$D4</f>
        <v/>
      </c>
      <c r="F4" t="inlineStr">
        <is>
          <t>Developing</t>
        </is>
      </c>
      <c r="G4" t="inlineStr"/>
      <c r="H4">
        <f>IFERROR(COUNT(Subcomponents!$E$15:$E$21)/(COUNT(Subcomponents!$E$15:$E$21)+COUNTIF(Subcomponents!$G$15:$G$21,"NOT_ASSESSED")),"")</f>
        <v/>
      </c>
    </row>
    <row r="5">
      <c r="A5" t="inlineStr">
        <is>
          <t>ORCHESTRATION</t>
        </is>
      </c>
      <c r="B5" t="n">
        <v>0.7</v>
      </c>
      <c r="C5">
        <f>IFERROR(AVERAGE(Subcomponents!$E$22:$E$26),"")</f>
        <v/>
      </c>
      <c r="D5">
        <f>MIN(Subcomponents!$E$22:$E$26)</f>
        <v/>
      </c>
      <c r="E5">
        <f>$B5*$C5+(1-$B5)*$D5</f>
        <v/>
      </c>
      <c r="F5" t="inlineStr">
        <is>
          <t>Developing</t>
        </is>
      </c>
      <c r="G5" t="inlineStr"/>
      <c r="H5">
        <f>IFERROR(COUNT(Subcomponents!$E$22:$E$26)/(COUNT(Subcomponents!$E$22:$E$26)+COUNTIF(Subcomponents!$G$22:$G$26,"NOT_ASSESSED")),"")</f>
        <v/>
      </c>
    </row>
    <row r="6">
      <c r="A6" t="inlineStr">
        <is>
          <t>CMS</t>
        </is>
      </c>
      <c r="B6" t="n">
        <v>0.7</v>
      </c>
      <c r="C6">
        <f>IFERROR(AVERAGE(Subcomponents!$E$27:$E$32),"")</f>
        <v/>
      </c>
      <c r="D6">
        <f>MIN(Subcomponents!$E$27:$E$32)</f>
        <v/>
      </c>
      <c r="E6">
        <f>$B6*$C6+(1-$B6)*$D6</f>
        <v/>
      </c>
      <c r="F6" t="inlineStr">
        <is>
          <t>Developing</t>
        </is>
      </c>
      <c r="G6" t="inlineStr"/>
      <c r="H6">
        <f>IFERROR(COUNT(Subcomponents!$E$27:$E$32)/(COUNT(Subcomponents!$E$27:$E$32)+COUNTIF(Subcomponents!$G$27:$G$32,"NOT_ASSESSED")),"")</f>
        <v/>
      </c>
    </row>
    <row r="7">
      <c r="A7" t="inlineStr">
        <is>
          <t>BACKOFFICE</t>
        </is>
      </c>
      <c r="B7" t="n">
        <v>0.7</v>
      </c>
      <c r="C7">
        <f>IFERROR(AVERAGE(Subcomponents!$E$33:$E$38),"")</f>
        <v/>
      </c>
      <c r="D7">
        <f>MIN(Subcomponents!$E$33:$E$38)</f>
        <v/>
      </c>
      <c r="E7">
        <f>$B7*$C7+(1-$B7)*$D7</f>
        <v/>
      </c>
      <c r="F7" t="inlineStr">
        <is>
          <t>Advanced</t>
        </is>
      </c>
      <c r="G7" t="inlineStr"/>
      <c r="H7">
        <f>IFERROR(COUNT(Subcomponents!$E$33:$E$38)/(COUNT(Subcomponents!$E$33:$E$38)+COUNTIF(Subcomponents!$G$33:$G$38,"NOT_ASSESSED")),"")</f>
        <v/>
      </c>
    </row>
    <row r="8">
      <c r="A8" t="inlineStr">
        <is>
          <t>OEMS</t>
        </is>
      </c>
      <c r="B8" t="n">
        <v>0.7</v>
      </c>
      <c r="C8">
        <f>IFERROR(AVERAGE(Subcomponents!$E$39:$E$44),"")</f>
        <v/>
      </c>
      <c r="D8">
        <f>MIN(Subcomponents!$E$39:$E$44)</f>
        <v/>
      </c>
      <c r="E8">
        <f>$B8*$C8+(1-$B8)*$D8</f>
        <v/>
      </c>
      <c r="F8" t="inlineStr">
        <is>
          <t>Developing</t>
        </is>
      </c>
      <c r="G8" t="inlineStr"/>
      <c r="H8">
        <f>IFERROR(COUNT(Subcomponents!$E$39:$E$44)/(COUNT(Subcomponents!$E$39:$E$44)+COUNTIF(Subcomponents!$G$39:$G$44,"NOT_ASSESSED")),"")</f>
        <v/>
      </c>
    </row>
    <row r="9">
      <c r="A9" t="inlineStr">
        <is>
          <t>EMS_GATEWAY</t>
        </is>
      </c>
      <c r="B9" t="n">
        <v>0.7</v>
      </c>
      <c r="C9">
        <f>IFERROR(AVERAGE(Subcomponents!$E$45:$E$48),"")</f>
        <v/>
      </c>
      <c r="D9">
        <f>MIN(Subcomponents!$E$45:$E$48)</f>
        <v/>
      </c>
      <c r="E9">
        <f>$B9*$C9+(1-$B9)*$D9</f>
        <v/>
      </c>
      <c r="F9" t="inlineStr">
        <is>
          <t>Advanced</t>
        </is>
      </c>
      <c r="G9" t="inlineStr"/>
      <c r="H9">
        <f>IFERROR(COUNT(Subcomponents!$E$45:$E$48)/(COUNT(Subcomponents!$E$45:$E$48)+COUNTIF(Subcomponents!$G$45:$G$48,"NOT_ASSESSED")),"")</f>
        <v/>
      </c>
    </row>
    <row r="10">
      <c r="A10" t="inlineStr">
        <is>
          <t>LIQ_CONNECT</t>
        </is>
      </c>
      <c r="B10" t="n">
        <v>0.7</v>
      </c>
      <c r="C10">
        <f>IFERROR(AVERAGE(Subcomponents!$E$49:$E$52),"")</f>
        <v/>
      </c>
      <c r="D10">
        <f>MIN(Subcomponents!$E$49:$E$52)</f>
        <v/>
      </c>
      <c r="E10">
        <f>$B10*$C10+(1-$B10)*$D10</f>
        <v/>
      </c>
      <c r="F10" t="inlineStr">
        <is>
          <t>Advanced</t>
        </is>
      </c>
      <c r="G10" t="inlineStr"/>
      <c r="H10">
        <f>IFERROR(COUNT(Subcomponents!$E$49:$E$52)/(COUNT(Subcomponents!$E$49:$E$52)+COUNTIF(Subcomponents!$G$49:$G$52,"NOT_ASSESSED")),"")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3" t="inlineStr">
        <is>
          <t>Metric</t>
        </is>
      </c>
      <c r="B1" s="3" t="inlineStr">
        <is>
          <t>Raw</t>
        </is>
      </c>
      <c r="C1" s="3" t="inlineStr">
        <is>
          <t>Unit</t>
        </is>
      </c>
      <c r="D1" s="3" t="inlineStr">
        <is>
          <t>Direction</t>
        </is>
      </c>
      <c r="E1" s="3" t="inlineStr">
        <is>
          <t>x1</t>
        </is>
      </c>
      <c r="F1" s="3" t="inlineStr">
        <is>
          <t>x2</t>
        </is>
      </c>
      <c r="G1" s="3" t="inlineStr">
        <is>
          <t>x3</t>
        </is>
      </c>
      <c r="H1" s="3" t="inlineStr">
        <is>
          <t>x4</t>
        </is>
      </c>
      <c r="I1" s="3" t="inlineStr">
        <is>
          <t>y1</t>
        </is>
      </c>
      <c r="J1" s="3" t="inlineStr">
        <is>
          <t>y2</t>
        </is>
      </c>
      <c r="K1" s="3" t="inlineStr">
        <is>
          <t>y3</t>
        </is>
      </c>
      <c r="L1" s="3" t="inlineStr">
        <is>
          <t>y4</t>
        </is>
      </c>
      <c r="M1" s="3" t="inlineStr">
        <is>
          <t>n_k</t>
        </is>
      </c>
    </row>
    <row r="2">
      <c r="A2" t="inlineStr">
        <is>
          <t>AUA</t>
        </is>
      </c>
      <c r="B2" t="n">
        <v>1800000000</v>
      </c>
      <c r="C2" t="inlineStr">
        <is>
          <t>GBP</t>
        </is>
      </c>
      <c r="D2" t="inlineStr">
        <is>
          <t>higher_is_better</t>
        </is>
      </c>
      <c r="E2" t="n">
        <v>0</v>
      </c>
      <c r="F2" t="n">
        <v>250000000</v>
      </c>
      <c r="G2" t="n">
        <v>2000000000</v>
      </c>
      <c r="H2" t="n">
        <v>20000000000</v>
      </c>
      <c r="I2" t="n">
        <v>0.2</v>
      </c>
      <c r="J2" t="n">
        <v>0.5</v>
      </c>
      <c r="K2" t="n">
        <v>0.8</v>
      </c>
      <c r="L2" t="n">
        <v>1</v>
      </c>
      <c r="M2">
        <f>IF($B2&lt;=$E2,$I2,IF($B2&gt;=$H2,$L2,IF($B2&lt;=$F2,$I2+($B2-$E2)/($F2-$E2)*($J2-$I2),IF($B2&lt;=$G2,$J2+($B2-$F2)/($G2-$F2)*($K2-$J2),$K2+($B2-$G2)/($H2-$G2)*($L2-$K2))))))</f>
        <v/>
      </c>
    </row>
    <row r="3">
      <c r="A3" t="inlineStr">
        <is>
          <t>ACTIVE_CLIENTS</t>
        </is>
      </c>
      <c r="B3" t="n">
        <v>180000</v>
      </c>
      <c r="C3" t="inlineStr">
        <is>
          <t>count</t>
        </is>
      </c>
      <c r="D3" t="inlineStr">
        <is>
          <t>higher_is_better</t>
        </is>
      </c>
      <c r="E3" t="n">
        <v>0</v>
      </c>
      <c r="F3" t="n">
        <v>25000</v>
      </c>
      <c r="G3" t="n">
        <v>250000</v>
      </c>
      <c r="H3" t="n">
        <v>2000000</v>
      </c>
      <c r="I3" t="n">
        <v>0.2</v>
      </c>
      <c r="J3" t="n">
        <v>0.5</v>
      </c>
      <c r="K3" t="n">
        <v>0.8</v>
      </c>
      <c r="L3" t="n">
        <v>1</v>
      </c>
      <c r="M3">
        <f>IF($B3&lt;=$E3,$I3,IF($B3&gt;=$H3,$L3,IF($B3&lt;=$F3,$I3+($B3-$E3)/($F3-$E3)*($J3-$I3),IF($B3&lt;=$G3,$J3+($B3-$F3)/($G3-$F3)*($K3-$J3),$K3+($B3-$G3)/($H3-$G3)*($L3-$K3))))))</f>
        <v/>
      </c>
    </row>
    <row r="4">
      <c r="A4" t="inlineStr">
        <is>
          <t>NET_REVENUE</t>
        </is>
      </c>
      <c r="B4" t="n">
        <v>85000000</v>
      </c>
      <c r="C4" t="inlineStr">
        <is>
          <t>GBP</t>
        </is>
      </c>
      <c r="D4" t="inlineStr">
        <is>
          <t>higher_is_better</t>
        </is>
      </c>
      <c r="E4" t="n">
        <v>0</v>
      </c>
      <c r="F4" t="n">
        <v>10000000</v>
      </c>
      <c r="G4" t="n">
        <v>100000000</v>
      </c>
      <c r="H4" t="n">
        <v>1000000000</v>
      </c>
      <c r="I4" t="n">
        <v>0.2</v>
      </c>
      <c r="J4" t="n">
        <v>0.5</v>
      </c>
      <c r="K4" t="n">
        <v>0.8</v>
      </c>
      <c r="L4" t="n">
        <v>1</v>
      </c>
      <c r="M4">
        <f>IF($B4&lt;=$E4,$I4,IF($B4&gt;=$H4,$L4,IF($B4&lt;=$F4,$I4+($B4-$E4)/($F4-$E4)*($J4-$I4),IF($B4&lt;=$G4,$J4+($B4-$F4)/($G4-$F4)*($K4-$J4),$K4+($B4-$G4)/($H4-$G4)*($L4-$K4))))))</f>
        <v/>
      </c>
    </row>
    <row r="5">
      <c r="A5" t="inlineStr">
        <is>
          <t>REVENUE_PER_CLIENT</t>
        </is>
      </c>
      <c r="B5" t="n">
        <v>472</v>
      </c>
      <c r="C5" t="inlineStr">
        <is>
          <t>GBP_per_year</t>
        </is>
      </c>
      <c r="D5" t="inlineStr">
        <is>
          <t>higher_is_better</t>
        </is>
      </c>
      <c r="E5" t="n">
        <v>50</v>
      </c>
      <c r="F5" t="n">
        <v>200</v>
      </c>
      <c r="G5" t="n">
        <v>600</v>
      </c>
      <c r="H5" t="n">
        <v>2000</v>
      </c>
      <c r="I5" t="n">
        <v>0.2</v>
      </c>
      <c r="J5" t="n">
        <v>0.5</v>
      </c>
      <c r="K5" t="n">
        <v>0.8</v>
      </c>
      <c r="L5" t="n">
        <v>1</v>
      </c>
      <c r="M5">
        <f>IF($B5&lt;=$E5,$I5,IF($B5&gt;=$H5,$L5,IF($B5&lt;=$F5,$I5+($B5-$E5)/($F5-$E5)*($J5-$I5),IF($B5&lt;=$G5,$J5+($B5-$F5)/($G5-$F5)*($K5-$J5),$K5+($B5-$G5)/($H5-$G5)*($L5-$K5))))))</f>
        <v/>
      </c>
    </row>
    <row r="6">
      <c r="A6" t="inlineStr">
        <is>
          <t>GROSS_MARGIN</t>
        </is>
      </c>
      <c r="B6" t="n">
        <v>58</v>
      </c>
      <c r="C6" t="inlineStr">
        <is>
          <t>percent</t>
        </is>
      </c>
      <c r="D6" t="inlineStr">
        <is>
          <t>higher_is_better</t>
        </is>
      </c>
      <c r="E6" t="n">
        <v>20</v>
      </c>
      <c r="F6" t="n">
        <v>45</v>
      </c>
      <c r="G6" t="n">
        <v>65</v>
      </c>
      <c r="H6" t="n">
        <v>80</v>
      </c>
      <c r="I6" t="n">
        <v>0.2</v>
      </c>
      <c r="J6" t="n">
        <v>0.5</v>
      </c>
      <c r="K6" t="n">
        <v>0.8</v>
      </c>
      <c r="L6" t="n">
        <v>1</v>
      </c>
      <c r="M6">
        <f>IF($B6&lt;=$E6,$I6,IF($B6&gt;=$H6,$L6,IF($B6&lt;=$F6,$I6+($B6-$E6)/($F6-$E6)*($J6-$I6),IF($B6&lt;=$G6,$J6+($B6-$F6)/($G6-$F6)*($K6-$J6),$K6+($B6-$G6)/($H6-$G6)*($L6-$K6))))))</f>
        <v/>
      </c>
    </row>
    <row r="7">
      <c r="A7" t="inlineStr">
        <is>
          <t>COST_TO_SERVE</t>
        </is>
      </c>
      <c r="B7" t="n">
        <v>140</v>
      </c>
      <c r="C7" t="inlineStr">
        <is>
          <t>GBP_per_year</t>
        </is>
      </c>
      <c r="D7" t="inlineStr">
        <is>
          <t>lower_is_better</t>
        </is>
      </c>
      <c r="E7" t="n">
        <v>40</v>
      </c>
      <c r="F7" t="n">
        <v>100</v>
      </c>
      <c r="G7" t="n">
        <v>200</v>
      </c>
      <c r="H7" t="n">
        <v>400</v>
      </c>
      <c r="I7" t="n">
        <v>1</v>
      </c>
      <c r="J7" t="n">
        <v>0.8</v>
      </c>
      <c r="K7" t="n">
        <v>0.5</v>
      </c>
      <c r="L7" t="n">
        <v>0.2</v>
      </c>
      <c r="M7">
        <f>IF($B7&lt;=$E7,$I7,IF($B7&gt;=$H7,$L7,IF($B7&lt;=$F7,$I7+($B7-$E7)/($F7-$E7)*($J7-$I7),IF($B7&lt;=$G7,$J7+($B7-$F7)/($G7-$F7)*($K7-$J7),$K7+($B7-$G7)/($H7-$G7)*($L7-$K7))))))</f>
        <v/>
      </c>
    </row>
    <row r="8">
      <c r="A8" t="inlineStr">
        <is>
          <t>NET_REVENUE_RETENTION</t>
        </is>
      </c>
      <c r="B8" t="n">
        <v>104</v>
      </c>
      <c r="C8" t="inlineStr">
        <is>
          <t>percent</t>
        </is>
      </c>
      <c r="D8" t="inlineStr">
        <is>
          <t>higher_is_better</t>
        </is>
      </c>
      <c r="E8" t="n">
        <v>80</v>
      </c>
      <c r="F8" t="n">
        <v>100</v>
      </c>
      <c r="G8" t="n">
        <v>110</v>
      </c>
      <c r="H8" t="n">
        <v>130</v>
      </c>
      <c r="I8" t="n">
        <v>0.2</v>
      </c>
      <c r="J8" t="n">
        <v>0.5</v>
      </c>
      <c r="K8" t="n">
        <v>0.8</v>
      </c>
      <c r="L8" t="n">
        <v>1</v>
      </c>
      <c r="M8">
        <f>IF($B8&lt;=$E8,$I8,IF($B8&gt;=$H8,$L8,IF($B8&lt;=$F8,$I8+($B8-$E8)/($F8-$E8)*($J8-$I8),IF($B8&lt;=$G8,$J8+($B8-$F8)/($G8-$F8)*($K8-$J8),$K8+($B8-$G8)/($H8-$G8)*($L8-$K8))))))</f>
        <v/>
      </c>
    </row>
    <row r="9">
      <c r="A9" t="inlineStr">
        <is>
          <t>CLIENT_GROWTH_RATE</t>
        </is>
      </c>
      <c r="B9" t="n">
        <v>14</v>
      </c>
      <c r="C9" t="inlineStr">
        <is>
          <t>percent</t>
        </is>
      </c>
      <c r="D9" t="inlineStr">
        <is>
          <t>higher_is_better</t>
        </is>
      </c>
      <c r="E9" t="n">
        <v>0</v>
      </c>
      <c r="F9" t="n">
        <v>10</v>
      </c>
      <c r="G9" t="n">
        <v>25</v>
      </c>
      <c r="H9" t="n">
        <v>50</v>
      </c>
      <c r="I9" t="n">
        <v>0.2</v>
      </c>
      <c r="J9" t="n">
        <v>0.5</v>
      </c>
      <c r="K9" t="n">
        <v>0.8</v>
      </c>
      <c r="L9" t="n">
        <v>1</v>
      </c>
      <c r="M9">
        <f>IF($B9&lt;=$E9,$I9,IF($B9&gt;=$H9,$L9,IF($B9&lt;=$F9,$I9+($B9-$E9)/($F9-$E9)*($J9-$I9),IF($B9&lt;=$G9,$J9+($B9-$F9)/($G9-$F9)*($K9-$J9),$K9+($B9-$G9)/($H9-$G9)*($L9-$K9))))))</f>
        <v/>
      </c>
    </row>
    <row r="10">
      <c r="A10" t="inlineStr">
        <is>
          <t>TAKE_RATE_DURABILITY</t>
        </is>
      </c>
      <c r="B10" t="n">
        <v>22</v>
      </c>
      <c r="C10" t="inlineStr">
        <is>
          <t>bps</t>
        </is>
      </c>
      <c r="D10" t="inlineStr">
        <is>
          <t>higher_is_better</t>
        </is>
      </c>
      <c r="E10" t="n">
        <v>5</v>
      </c>
      <c r="F10" t="n">
        <v>15</v>
      </c>
      <c r="G10" t="n">
        <v>30</v>
      </c>
      <c r="H10" t="n">
        <v>60</v>
      </c>
      <c r="I10" t="n">
        <v>0.2</v>
      </c>
      <c r="J10" t="n">
        <v>0.5</v>
      </c>
      <c r="K10" t="n">
        <v>0.8</v>
      </c>
      <c r="L10" t="n">
        <v>1</v>
      </c>
      <c r="M10">
        <f>IF($B10&lt;=$E10,$I10,IF($B10&gt;=$H10,$L10,IF($B10&lt;=$F10,$I10+($B10-$E10)/($F10-$E10)*($J10-$I10),IF($B10&lt;=$G10,$J10+($B10-$F10)/($G10-$F10)*($K10-$J10),$K10+($B10-$G10)/($H10-$G10)*($L10-$K10))))))</f>
        <v/>
      </c>
    </row>
    <row r="11">
      <c r="A11" t="inlineStr">
        <is>
          <t>CAC_PAYBACK_MONTHS</t>
        </is>
      </c>
      <c r="B11" t="n">
        <v>18</v>
      </c>
      <c r="C11" t="inlineStr">
        <is>
          <t>months</t>
        </is>
      </c>
      <c r="D11" t="inlineStr">
        <is>
          <t>lower_is_better</t>
        </is>
      </c>
      <c r="E11" t="n">
        <v>6</v>
      </c>
      <c r="F11" t="n">
        <v>12</v>
      </c>
      <c r="G11" t="n">
        <v>24</v>
      </c>
      <c r="H11" t="n">
        <v>48</v>
      </c>
      <c r="I11" t="n">
        <v>1</v>
      </c>
      <c r="J11" t="n">
        <v>0.8</v>
      </c>
      <c r="K11" t="n">
        <v>0.5</v>
      </c>
      <c r="L11" t="n">
        <v>0.2</v>
      </c>
      <c r="M11">
        <f>IF($B11&lt;=$E11,$I11,IF($B11&gt;=$H11,$L11,IF($B11&lt;=$F11,$I11+($B11-$E11)/($F11-$E11)*($J11-$I11),IF($B11&lt;=$G11,$J11+($B11-$F11)/($G11-$F11)*($K11-$J11),$K11+($B11-$G11)/($H11-$G11)*($L11-$K11))))))</f>
        <v/>
      </c>
    </row>
    <row r="12">
      <c r="L12" t="inlineStr">
        <is>
          <t>B =</t>
        </is>
      </c>
      <c r="M12" s="4">
        <f>AVERAGE($M$2:$M$11)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3" t="inlineStr">
        <is>
          <t>Power</t>
        </is>
      </c>
      <c r="B1" s="3" t="inlineStr">
        <is>
          <t>Strength</t>
        </is>
      </c>
      <c r="C1" s="3" t="inlineStr">
        <is>
          <t>Value</t>
        </is>
      </c>
    </row>
    <row r="2">
      <c r="A2" t="inlineStr">
        <is>
          <t>SCALE_ECONOMIES</t>
        </is>
      </c>
      <c r="B2" t="inlineStr">
        <is>
          <t>Emerging</t>
        </is>
      </c>
      <c r="C2">
        <f>IF($B2="None",0,IF($B2="Emerging",0.4,IF($B2="Established",0.7,IF($B2="Wide",1,""))))</f>
        <v/>
      </c>
    </row>
    <row r="3">
      <c r="A3" t="inlineStr">
        <is>
          <t>NETWORK_ECONOMIES</t>
        </is>
      </c>
      <c r="B3" t="inlineStr">
        <is>
          <t>None</t>
        </is>
      </c>
      <c r="C3">
        <f>IF($B3="None",0,IF($B3="Emerging",0.4,IF($B3="Established",0.7,IF($B3="Wide",1,""))))</f>
        <v/>
      </c>
    </row>
    <row r="4">
      <c r="A4" t="inlineStr">
        <is>
          <t>COUNTER_POSITIONING</t>
        </is>
      </c>
      <c r="B4" t="inlineStr">
        <is>
          <t>None</t>
        </is>
      </c>
      <c r="C4">
        <f>IF($B4="None",0,IF($B4="Emerging",0.4,IF($B4="Established",0.7,IF($B4="Wide",1,""))))</f>
        <v/>
      </c>
    </row>
    <row r="5">
      <c r="A5" t="inlineStr">
        <is>
          <t>SWITCHING_COSTS</t>
        </is>
      </c>
      <c r="B5" t="inlineStr">
        <is>
          <t>Established</t>
        </is>
      </c>
      <c r="C5">
        <f>IF($B5="None",0,IF($B5="Emerging",0.4,IF($B5="Established",0.7,IF($B5="Wide",1,""))))</f>
        <v/>
      </c>
    </row>
    <row r="6">
      <c r="A6" t="inlineStr">
        <is>
          <t>BRANDING</t>
        </is>
      </c>
      <c r="B6" t="inlineStr">
        <is>
          <t>Emerging</t>
        </is>
      </c>
      <c r="C6">
        <f>IF($B6="None",0,IF($B6="Emerging",0.4,IF($B6="Established",0.7,IF($B6="Wide",1,""))))</f>
        <v/>
      </c>
    </row>
    <row r="7">
      <c r="A7" t="inlineStr">
        <is>
          <t>CORNERED_RESOURCE</t>
        </is>
      </c>
      <c r="B7" t="inlineStr">
        <is>
          <t>None</t>
        </is>
      </c>
      <c r="C7">
        <f>IF($B7="None",0,IF($B7="Emerging",0.4,IF($B7="Established",0.7,IF($B7="Wide",1,""))))</f>
        <v/>
      </c>
    </row>
    <row r="8">
      <c r="A8" t="inlineStr">
        <is>
          <t>PROCESS_POWER</t>
        </is>
      </c>
      <c r="B8" t="inlineStr">
        <is>
          <t>Emerging</t>
        </is>
      </c>
      <c r="C8">
        <f>IF($B8="None",0,IF($B8="Emerging",0.4,IF($B8="Established",0.7,IF($B8="Wide",1,""))))</f>
        <v/>
      </c>
    </row>
    <row r="9">
      <c r="B9" t="inlineStr">
        <is>
          <t>P =</t>
        </is>
      </c>
      <c r="C9" s="4">
        <f>AVERAGE($C$2:$C$8)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1" t="inlineStr">
        <is>
          <t>ATLAS Composite — V = θ_B·B + θ_P·P + θ_L·L</t>
        </is>
      </c>
    </row>
    <row r="2">
      <c r="A2" s="5" t="inlineStr">
        <is>
          <t>Item</t>
        </is>
      </c>
      <c r="B2" s="5" t="inlineStr">
        <is>
          <t>Coefficient</t>
        </is>
      </c>
      <c r="C2" s="5" t="inlineStr">
        <is>
          <t>Value</t>
        </is>
      </c>
    </row>
    <row r="3">
      <c r="A3" t="inlineStr">
        <is>
          <t>alpha_L</t>
        </is>
      </c>
      <c r="B3" t="n">
        <v>0.7</v>
      </c>
    </row>
    <row r="4">
      <c r="A4" t="inlineStr">
        <is>
          <t>L weighted term (mean q_m)</t>
        </is>
      </c>
      <c r="C4">
        <f>AVERAGE(Modules!$E$2,Modules!$E$3,Modules!$E$4,Modules!$E$5,Modules!$E$6,Modules!$E$7,Modules!$E$8,Modules!$E$9,Modules!$E$10)</f>
        <v/>
      </c>
    </row>
    <row r="5">
      <c r="A5" t="inlineStr">
        <is>
          <t>L min term (critical modules)</t>
        </is>
      </c>
      <c r="C5">
        <f>MIN(Modules!$E$3,Modules!$E$7,Modules!$E$8)</f>
        <v/>
      </c>
    </row>
    <row r="6">
      <c r="A6" t="inlineStr">
        <is>
          <t>L</t>
        </is>
      </c>
      <c r="C6">
        <f>$B3*$C4+(1-$B3)*$C5</f>
        <v/>
      </c>
    </row>
    <row r="7">
      <c r="A7" t="inlineStr">
        <is>
          <t>B</t>
        </is>
      </c>
      <c r="C7">
        <f>Business!$M$12</f>
        <v/>
      </c>
    </row>
    <row r="8">
      <c r="A8" t="inlineStr">
        <is>
          <t>P</t>
        </is>
      </c>
      <c r="C8">
        <f>Powers!$C$9</f>
        <v/>
      </c>
    </row>
    <row r="9">
      <c r="A9" t="inlineStr">
        <is>
          <t>theta_B</t>
        </is>
      </c>
      <c r="B9" t="n">
        <v>0.3</v>
      </c>
    </row>
    <row r="10">
      <c r="A10" t="inlineStr">
        <is>
          <t>theta_P</t>
        </is>
      </c>
      <c r="B10" t="n">
        <v>0.3</v>
      </c>
    </row>
    <row r="11">
      <c r="A11" t="inlineStr">
        <is>
          <t>theta_L</t>
        </is>
      </c>
      <c r="B11" t="n">
        <v>0.4</v>
      </c>
    </row>
    <row r="12">
      <c r="A12" s="4" t="inlineStr">
        <is>
          <t>V</t>
        </is>
      </c>
      <c r="C12" s="4">
        <f>$B9*$C7+$B10*$C8+$B11*$C6</f>
        <v/>
      </c>
    </row>
    <row r="13">
      <c r="A13" t="inlineStr">
        <is>
          <t>V (display 0–100)</t>
        </is>
      </c>
      <c r="C13">
        <f>$C12*100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2026-07-04T12:38:51Z</dcterms:created>
  <dcterms:modified xsi:type="dcterms:W3CDTF">2026-07-04T12:38:51Z</dcterms:modified>
</cp:coreProperties>
</file>